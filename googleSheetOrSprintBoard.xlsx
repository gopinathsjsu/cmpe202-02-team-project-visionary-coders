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rishnapanjiyar/Downloads/"/>
    </mc:Choice>
  </mc:AlternateContent>
  <xr:revisionPtr revIDLastSave="0" documentId="13_ncr:1_{D4C6F9A6-1271-9446-8876-DE995148AF84}" xr6:coauthVersionLast="47" xr6:coauthVersionMax="47" xr10:uidLastSave="{00000000-0000-0000-0000-000000000000}"/>
  <bookViews>
    <workbookView xWindow="0" yWindow="500" windowWidth="33600" windowHeight="18820" activeTab="2" xr2:uid="{00000000-000D-0000-FFFF-FFFF00000000}"/>
  </bookViews>
  <sheets>
    <sheet name="DASHBOARD" sheetId="1" r:id="rId1"/>
    <sheet name="SPRINT_OVERVIEW" sheetId="2" r:id="rId2"/>
    <sheet name="TEAM_WORKLOAD" sheetId="3" r:id="rId3"/>
    <sheet name="ALL_TASKS" sheetId="4" r:id="rId4"/>
    <sheet name="METRICS" sheetId="5" r:id="rId5"/>
    <sheet name="WEEKLY_PROGRESS" sheetId="6" r:id="rId6"/>
    <sheet name="FEATUR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6" l="1"/>
  <c r="F14" i="6"/>
  <c r="F13" i="6"/>
  <c r="F12" i="6"/>
  <c r="F11" i="6"/>
  <c r="F10" i="6"/>
  <c r="F9" i="6"/>
  <c r="F8" i="6"/>
  <c r="F7" i="6"/>
  <c r="F6" i="6"/>
  <c r="F5" i="6"/>
  <c r="F4" i="6"/>
  <c r="D10" i="2"/>
  <c r="C10" i="2"/>
</calcChain>
</file>

<file path=xl/sharedStrings.xml><?xml version="1.0" encoding="utf-8"?>
<sst xmlns="http://schemas.openxmlformats.org/spreadsheetml/2006/main" count="427" uniqueCount="279">
  <si>
    <t>CAMPUS MARKETPLACE - PROJECT DASHBOARD</t>
  </si>
  <si>
    <t>EXECUTIVE SUMMARY</t>
  </si>
  <si>
    <t>Total Sprints</t>
  </si>
  <si>
    <t>Total Tasks</t>
  </si>
  <si>
    <t>Story Points</t>
  </si>
  <si>
    <t>Completion Rate</t>
  </si>
  <si>
    <t>100%</t>
  </si>
  <si>
    <t>Complete</t>
  </si>
  <si>
    <t>Delivered</t>
  </si>
  <si>
    <t>All Items</t>
  </si>
  <si>
    <t>Team Members</t>
  </si>
  <si>
    <t>Code Quality</t>
  </si>
  <si>
    <t>Missed Deadlines</t>
  </si>
  <si>
    <t>Project Status</t>
  </si>
  <si>
    <t>88.3/100</t>
  </si>
  <si>
    <t>READY</t>
  </si>
  <si>
    <t>Active</t>
  </si>
  <si>
    <t>Professional</t>
  </si>
  <si>
    <t>Zero</t>
  </si>
  <si>
    <t>Production</t>
  </si>
  <si>
    <t>PROJECT TIMELINE</t>
  </si>
  <si>
    <t>Start Date: September 8, 2025</t>
  </si>
  <si>
    <t>End Date: December 4, 2025</t>
  </si>
  <si>
    <t>Duration: 12 Weeks</t>
  </si>
  <si>
    <t>Sprints: 6</t>
  </si>
  <si>
    <t>TEAM STRUCTURE</t>
  </si>
  <si>
    <t>Team Member</t>
  </si>
  <si>
    <t>Role</t>
  </si>
  <si>
    <t>Commits</t>
  </si>
  <si>
    <t>% of Work</t>
  </si>
  <si>
    <t>Girith Choudhary</t>
  </si>
  <si>
    <t>Backend &amp; Deployment</t>
  </si>
  <si>
    <t>26%</t>
  </si>
  <si>
    <t>Krishna Panjiyar</t>
  </si>
  <si>
    <t>Frontend &amp; NLP</t>
  </si>
  <si>
    <t>20%</t>
  </si>
  <si>
    <t>Manasa Sadhu</t>
  </si>
  <si>
    <t>UI &amp; Chat</t>
  </si>
  <si>
    <t>22%</t>
  </si>
  <si>
    <t>Tej Yenugunti</t>
  </si>
  <si>
    <t>Dashboard &amp; Admin</t>
  </si>
  <si>
    <t>19%</t>
  </si>
  <si>
    <t>SPRINT VELOCITY &amp; COMPLETION</t>
  </si>
  <si>
    <t>Sprint</t>
  </si>
  <si>
    <t>Start Date</t>
  </si>
  <si>
    <t>Tasks</t>
  </si>
  <si>
    <t>Status</t>
  </si>
  <si>
    <t>Sprint 1</t>
  </si>
  <si>
    <t>Sept 8</t>
  </si>
  <si>
    <t>Done</t>
  </si>
  <si>
    <t>Sprint 2</t>
  </si>
  <si>
    <t>Sept 22</t>
  </si>
  <si>
    <t>Sprint 3</t>
  </si>
  <si>
    <t>Oct 6</t>
  </si>
  <si>
    <t>Sprint 4</t>
  </si>
  <si>
    <t>Oct 20</t>
  </si>
  <si>
    <t>Sprint 5</t>
  </si>
  <si>
    <t>Nov 3</t>
  </si>
  <si>
    <t>Sprint 6</t>
  </si>
  <si>
    <t>Nov 17</t>
  </si>
  <si>
    <t>TOTAL</t>
  </si>
  <si>
    <t>TEAM WORKLOAD DISTRIBUTION</t>
  </si>
  <si>
    <t>SPRINT 1 (Auth &amp; Setup)</t>
  </si>
  <si>
    <t>Total: 34 points</t>
  </si>
  <si>
    <t>ID</t>
  </si>
  <si>
    <t>Pts</t>
  </si>
  <si>
    <t>Task</t>
  </si>
  <si>
    <t>Owner</t>
  </si>
  <si>
    <t>S1-001</t>
  </si>
  <si>
    <t>Project Setup &amp; Environment</t>
  </si>
  <si>
    <t>Krishna</t>
  </si>
  <si>
    <t>S1-002</t>
  </si>
  <si>
    <t>Database Schema Design</t>
  </si>
  <si>
    <t>Manasa</t>
  </si>
  <si>
    <t>S1-003</t>
  </si>
  <si>
    <t>JWT Authentication System</t>
  </si>
  <si>
    <t>Girith</t>
  </si>
  <si>
    <t>S1-004</t>
  </si>
  <si>
    <t>User Role Implementation</t>
  </si>
  <si>
    <t>S1-005</t>
  </si>
  <si>
    <t>Backend API Structure</t>
  </si>
  <si>
    <t>S1-006</t>
  </si>
  <si>
    <t>Frontend Project Setup</t>
  </si>
  <si>
    <t>S1-007</t>
  </si>
  <si>
    <t>Login/Register UI</t>
  </si>
  <si>
    <t>S1-008</t>
  </si>
  <si>
    <t>Database Seeding</t>
  </si>
  <si>
    <t>SPRINT 2 (Core Features)</t>
  </si>
  <si>
    <t>Total: 47 points</t>
  </si>
  <si>
    <t>S2-001</t>
  </si>
  <si>
    <t>Listings CRUD Backend</t>
  </si>
  <si>
    <t>S2-002</t>
  </si>
  <si>
    <t>Listings CRUD Frontend</t>
  </si>
  <si>
    <t>S2-003</t>
  </si>
  <si>
    <t>Product Upload System</t>
  </si>
  <si>
    <t>S2-004</t>
  </si>
  <si>
    <t>Search &amp; Filter API</t>
  </si>
  <si>
    <t>S2-005</t>
  </si>
  <si>
    <t>Search &amp; Filter UI</t>
  </si>
  <si>
    <t>S2-006</t>
  </si>
  <si>
    <t>Seller Dashboard</t>
  </si>
  <si>
    <t>Tej</t>
  </si>
  <si>
    <t>S2-007</t>
  </si>
  <si>
    <t>Buyer Dashboard</t>
  </si>
  <si>
    <t>S2-008</t>
  </si>
  <si>
    <t>Category Management</t>
  </si>
  <si>
    <t>SPRINT 3 (Chat &amp; NLP)</t>
  </si>
  <si>
    <t>Total: 39 points</t>
  </si>
  <si>
    <t>S3-001</t>
  </si>
  <si>
    <t>WebSocket Chat Backend</t>
  </si>
  <si>
    <t>S3-002</t>
  </si>
  <si>
    <t>Chat UI Component</t>
  </si>
  <si>
    <t>S3-003</t>
  </si>
  <si>
    <t>Real-time Notifications</t>
  </si>
  <si>
    <t>S3-004</t>
  </si>
  <si>
    <t>NLP Search Integration</t>
  </si>
  <si>
    <t>S3-005</t>
  </si>
  <si>
    <t>NLP Search UI</t>
  </si>
  <si>
    <t>S3-006</t>
  </si>
  <si>
    <t>Chat Room Management</t>
  </si>
  <si>
    <t>S3-007</t>
  </si>
  <si>
    <t>Message Timestamps</t>
  </si>
  <si>
    <t>S3-008</t>
  </si>
  <si>
    <t>Chat Read Status</t>
  </si>
  <si>
    <t>SPRINT 4 (Admin)</t>
  </si>
  <si>
    <t>Total: 50 points</t>
  </si>
  <si>
    <t>S4-001</t>
  </si>
  <si>
    <t>Admin Dashboard Backend</t>
  </si>
  <si>
    <t>S4-002</t>
  </si>
  <si>
    <t>Admin Dashboard UI</t>
  </si>
  <si>
    <t>S4-003</t>
  </si>
  <si>
    <t>Listing Approval System</t>
  </si>
  <si>
    <t>S4-004</t>
  </si>
  <si>
    <t>User Management API</t>
  </si>
  <si>
    <t>S4-005</t>
  </si>
  <si>
    <t>Report System Backend</t>
  </si>
  <si>
    <t>S4-006</t>
  </si>
  <si>
    <t>Report System UI</t>
  </si>
  <si>
    <t>S4-007</t>
  </si>
  <si>
    <t>Content Moderation</t>
  </si>
  <si>
    <t>S4-008</t>
  </si>
  <si>
    <t>Admin Permissions</t>
  </si>
  <si>
    <t>SPRINT 5 (Deployment)</t>
  </si>
  <si>
    <t>S5-001</t>
  </si>
  <si>
    <t>AWS/Azure Setup</t>
  </si>
  <si>
    <t>S5-002</t>
  </si>
  <si>
    <t>Database Migration</t>
  </si>
  <si>
    <t>S5-003</t>
  </si>
  <si>
    <t>CI/CD Pipeline</t>
  </si>
  <si>
    <t>S5-004</t>
  </si>
  <si>
    <t>Security Hardening</t>
  </si>
  <si>
    <t>S5-005</t>
  </si>
  <si>
    <t>Environment Configuration</t>
  </si>
  <si>
    <t>S5-006</t>
  </si>
  <si>
    <t>Error Handling &amp; Logging</t>
  </si>
  <si>
    <t>S5-007</t>
  </si>
  <si>
    <t>Performance Testing</t>
  </si>
  <si>
    <t>S5-008</t>
  </si>
  <si>
    <t>API Documentation</t>
  </si>
  <si>
    <t>SPRINT 6 (Testing &amp; Polish)</t>
  </si>
  <si>
    <t>Total: 44 points</t>
  </si>
  <si>
    <t>S6-001</t>
  </si>
  <si>
    <t>Unit Testing</t>
  </si>
  <si>
    <t>S6-002</t>
  </si>
  <si>
    <t>Integration Testing</t>
  </si>
  <si>
    <t>S6-003</t>
  </si>
  <si>
    <t>UI/UX Polish</t>
  </si>
  <si>
    <t>S6-004</t>
  </si>
  <si>
    <t>Bug Fixes &amp; Refinement</t>
  </si>
  <si>
    <t>All</t>
  </si>
  <si>
    <t>S6-005</t>
  </si>
  <si>
    <t>Documentation Completion</t>
  </si>
  <si>
    <t>S6-006</t>
  </si>
  <si>
    <t>Demo Preparation</t>
  </si>
  <si>
    <t>S6-007</t>
  </si>
  <si>
    <t>Performance Optimization</t>
  </si>
  <si>
    <t>S6-008</t>
  </si>
  <si>
    <t>Team Retrospective</t>
  </si>
  <si>
    <t>PROJECT METRICS &amp; QUALITY ANALYSIS</t>
  </si>
  <si>
    <t>COMPLETION METRICS</t>
  </si>
  <si>
    <t>Metric</t>
  </si>
  <si>
    <t>Completed</t>
  </si>
  <si>
    <t>Total</t>
  </si>
  <si>
    <t>Rate</t>
  </si>
  <si>
    <t>Tasks Completed</t>
  </si>
  <si>
    <t>Story Points Delivered</t>
  </si>
  <si>
    <t>Sprints Completed</t>
  </si>
  <si>
    <t>Features Implemented</t>
  </si>
  <si>
    <t>QUALITY METRICS</t>
  </si>
  <si>
    <t>Quality Indicator</t>
  </si>
  <si>
    <t>Score</t>
  </si>
  <si>
    <t>Target</t>
  </si>
  <si>
    <t>Code Quality Score</t>
  </si>
  <si>
    <t>80/100</t>
  </si>
  <si>
    <t>Test Coverage</t>
  </si>
  <si>
    <t>85%</t>
  </si>
  <si>
    <t>80%</t>
  </si>
  <si>
    <t>Performance (P95)</t>
  </si>
  <si>
    <t>300ms</t>
  </si>
  <si>
    <t>&lt;500ms</t>
  </si>
  <si>
    <t>Uptime</t>
  </si>
  <si>
    <t>99.9%</t>
  </si>
  <si>
    <t>99%</t>
  </si>
  <si>
    <t>VELOCITY ANALYSIS</t>
  </si>
  <si>
    <t>Sprint 1 Velocity</t>
  </si>
  <si>
    <t>Baseline</t>
  </si>
  <si>
    <t>Sprint 2 Velocity</t>
  </si>
  <si>
    <t>+38%</t>
  </si>
  <si>
    <t>Sprint 3 Velocity</t>
  </si>
  <si>
    <t>-17%</t>
  </si>
  <si>
    <t>Sprint 4 Velocity</t>
  </si>
  <si>
    <t>+28% (PEAK)</t>
  </si>
  <si>
    <t>Sprint 5 Velocity</t>
  </si>
  <si>
    <t>-6%</t>
  </si>
  <si>
    <t>Sprint 6 Velocity</t>
  </si>
  <si>
    <t>Average Velocity</t>
  </si>
  <si>
    <t>Stable</t>
  </si>
  <si>
    <t>WEEKLY PROGRESS &amp; TEAM COMMITS</t>
  </si>
  <si>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</si>
  <si>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</si>
  <si>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</si>
  <si>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</si>
  <si>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</si>
  <si>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</si>
  <si>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</si>
  <si>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</si>
  <si>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</si>
  <si>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</si>
  <si>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</si>
  <si>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</si>
  <si>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</si>
  <si>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FEATURES &amp; TECHNOLOGY</t>
  </si>
  <si>
    <t>BUYER FEATURES</t>
  </si>
  <si>
    <t>Browse all marketplace listings</t>
  </si>
  <si>
    <t>Advanced search with NLP</t>
  </si>
  <si>
    <t>Filter by category and price range</t>
  </si>
  <si>
    <t>Real-time chat with sellers</t>
  </si>
  <si>
    <t>Report suspicious listings</t>
  </si>
  <si>
    <t>Purchase history tracking</t>
  </si>
  <si>
    <t>SELLER FEATURES</t>
  </si>
  <si>
    <t>Create, edit, delete listings</t>
  </si>
  <si>
    <t>Upload product photos with preview</t>
  </si>
  <si>
    <t>Real-time chat with buyers</t>
  </si>
  <si>
    <t>Mark items as sold</t>
  </si>
  <si>
    <t>View sales dashboard</t>
  </si>
  <si>
    <t>Manage seller profile</t>
  </si>
  <si>
    <t>ADMIN FEATURES</t>
  </si>
  <si>
    <t>Dashboard with platform statistics</t>
  </si>
  <si>
    <t>Approve/reject seller listings</t>
  </si>
  <si>
    <t>Manage user accounts and roles</t>
  </si>
  <si>
    <t>Handle violation reports</t>
  </si>
  <si>
    <t>View platform analytics</t>
  </si>
  <si>
    <t>Moderate inappropriate content</t>
  </si>
  <si>
    <t>TECHNOLOGY STACK</t>
  </si>
  <si>
    <t>Technology</t>
  </si>
  <si>
    <t>Details</t>
  </si>
  <si>
    <t>Frontend Framework</t>
  </si>
  <si>
    <t>Next.js 15.5.4 (React 19)</t>
  </si>
  <si>
    <t>Frontend Language</t>
  </si>
  <si>
    <t>TypeScript</t>
  </si>
  <si>
    <t>Frontend Styling</t>
  </si>
  <si>
    <t>Tailwind CSS 4</t>
  </si>
  <si>
    <t>Backend Framework</t>
  </si>
  <si>
    <t>FastAPI (Python 3.11+)</t>
  </si>
  <si>
    <t>Database (Dev)</t>
  </si>
  <si>
    <t>SQLite</t>
  </si>
  <si>
    <t>Database (Prod)</t>
  </si>
  <si>
    <t>PostgreSQL</t>
  </si>
  <si>
    <t>ORM</t>
  </si>
  <si>
    <t>SQLAlchemy</t>
  </si>
  <si>
    <t>Authentication</t>
  </si>
  <si>
    <t>JWT with Bcrypt</t>
  </si>
  <si>
    <t>Real-time Communication</t>
  </si>
  <si>
    <t>WebSocket</t>
  </si>
  <si>
    <t>AI/NLP Integration</t>
  </si>
  <si>
    <t>OpenAI GPT API</t>
  </si>
  <si>
    <t>Cloud Deployment</t>
  </si>
  <si>
    <t>AWS EC2 / Azure App Service</t>
  </si>
  <si>
    <t>GitHub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</si>
</sst>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4"/>
      <color rgb="FFC65911"/>
      <name val="Calibri"/>
      <family val="2"/>
    </font>
    <font>
      <sz val="9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C65911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5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8" fillId="4" borderId="0" xfId="0" applyFont="1" applyFill="1"/>
    <xf numFmtId="0" fontId="9" fillId="4" borderId="0" xfId="0" applyFont="1" applyFill="1"/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8" fillId="7" borderId="1" xfId="0" applyFont="1" applyFill="1" applyBorder="1" applyAlignment="1">
      <alignment horizontal="left" vertical="top" wrapText="1"/>
    </xf>
    <xf numFmtId="0" fontId="6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8" fillId="4" borderId="0" xfId="0" applyFont="1" applyFill="1"/>
    <xf numFmtId="0" fontId="1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Sprint Velocity Trend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SPRINT_OVERVIEW!$C$2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SPRINT_OVERVIEW!$A$3:$A$8</c:f>
              <c:strCache>
                <c:ptCount val="6"/>
                <c:pt idx="0">
                  <c:v>Sprint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</c:strCache>
            </c:strRef>
          </c:cat>
          <c:val>
            <c:numRef>
              <c:f>SPRINT_OVERVIEW!$C$3:$C$8</c:f>
              <c:numCache>
                <c:formatCode>General</c:formatCode>
                <c:ptCount val="6"/>
                <c:pt idx="0">
                  <c:v>0</c:v>
                </c:pt>
                <c:pt idx="1">
                  <c:v>34</c:v>
                </c:pt>
                <c:pt idx="2">
                  <c:v>47</c:v>
                </c:pt>
                <c:pt idx="3">
                  <c:v>39</c:v>
                </c:pt>
                <c:pt idx="4">
                  <c:v>50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C-6E42-AB7F-59E7AAFB6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Story Points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8.5611111111111096E-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TEAM_WORKLOAD!$B$1:$B$3</c:f>
              <c:strCache>
                <c:ptCount val="3"/>
                <c:pt idx="0">
                  <c:v>TEAM WORKLOAD DISTRIBUTION</c:v>
                </c:pt>
                <c:pt idx="2">
                  <c:v>Story Points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TEAM_WORKLOAD!$A$4:$A$7</c:f>
              <c:strCache>
                <c:ptCount val="4"/>
                <c:pt idx="0">
                  <c:v>Girith Choudhary</c:v>
                </c:pt>
                <c:pt idx="1">
                  <c:v>Krishna Panjiyar</c:v>
                </c:pt>
                <c:pt idx="2">
                  <c:v>Manasa Sadhu</c:v>
                </c:pt>
                <c:pt idx="3">
                  <c:v>Tej Yenugunti</c:v>
                </c:pt>
              </c:strCache>
            </c:strRef>
          </c:cat>
          <c:val>
            <c:numRef>
              <c:f>TEAM_WORKLOAD!$B$4:$B$7</c:f>
              <c:numCache>
                <c:formatCode>General</c:formatCode>
                <c:ptCount val="4"/>
                <c:pt idx="0">
                  <c:v>62</c:v>
                </c:pt>
                <c:pt idx="1">
                  <c:v>52</c:v>
                </c:pt>
                <c:pt idx="2">
                  <c:v>58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7-444C-AA5B-7513C2BD5A8A}"/>
            </c:ext>
          </c:extLst>
        </c:ser>
        <c:ser>
          <c:idx val="1"/>
          <c:order val="1"/>
          <c:tx>
            <c:strRef>
              <c:f>TEAM_WORKLOAD!$C$1:$C$3</c:f>
              <c:strCache>
                <c:ptCount val="3"/>
                <c:pt idx="0">
                  <c:v>TEAM WORKLOAD DISTRIBUTION</c:v>
                </c:pt>
                <c:pt idx="2">
                  <c:v>Commits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TEAM_WORKLOAD!$A$4:$A$7</c:f>
              <c:strCache>
                <c:ptCount val="4"/>
                <c:pt idx="0">
                  <c:v>Girith Choudhary</c:v>
                </c:pt>
                <c:pt idx="1">
                  <c:v>Krishna Panjiyar</c:v>
                </c:pt>
                <c:pt idx="2">
                  <c:v>Manasa Sadhu</c:v>
                </c:pt>
                <c:pt idx="3">
                  <c:v>Tej Yenugunti</c:v>
                </c:pt>
              </c:strCache>
            </c:strRef>
          </c:cat>
          <c:val>
            <c:numRef>
              <c:f>TEAM_WORKLOAD!$C$4:$C$7</c:f>
              <c:numCache>
                <c:formatCode>General</c:formatCode>
                <c:ptCount val="4"/>
                <c:pt idx="0">
                  <c:v>78</c:v>
                </c:pt>
                <c:pt idx="1">
                  <c:v>66</c:v>
                </c:pt>
                <c:pt idx="2">
                  <c:v>60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7-444C-AA5B-7513C2BD5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Commits and Story Points Team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TEAM_WORKLOAD!$B$1:$B$3</c:f>
              <c:strCache>
                <c:ptCount val="3"/>
                <c:pt idx="0">
                  <c:v>TEAM WORKLOAD DISTRIBUTION</c:v>
                </c:pt>
                <c:pt idx="2">
                  <c:v>Story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TEAM_WORKLOAD!$A$4:$A$7</c:f>
              <c:strCache>
                <c:ptCount val="4"/>
                <c:pt idx="0">
                  <c:v>Girith Choudhary</c:v>
                </c:pt>
                <c:pt idx="1">
                  <c:v>Krishna Panjiyar</c:v>
                </c:pt>
                <c:pt idx="2">
                  <c:v>Manasa Sadhu</c:v>
                </c:pt>
                <c:pt idx="3">
                  <c:v>Tej Yenugunti</c:v>
                </c:pt>
              </c:strCache>
            </c:strRef>
          </c:cat>
          <c:val>
            <c:numRef>
              <c:f>TEAM_WORKLOAD!$B$4:$B$7</c:f>
              <c:numCache>
                <c:formatCode>General</c:formatCode>
                <c:ptCount val="4"/>
                <c:pt idx="0">
                  <c:v>62</c:v>
                </c:pt>
                <c:pt idx="1">
                  <c:v>52</c:v>
                </c:pt>
                <c:pt idx="2">
                  <c:v>58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B-3844-8882-80BDEFC53B10}"/>
            </c:ext>
          </c:extLst>
        </c:ser>
        <c:ser>
          <c:idx val="1"/>
          <c:order val="1"/>
          <c:tx>
            <c:strRef>
              <c:f>TEAM_WORKLOAD!$C$1:$C$3</c:f>
              <c:strCache>
                <c:ptCount val="3"/>
                <c:pt idx="0">
                  <c:v>TEAM WORKLOAD DISTRIBUTION</c:v>
                </c:pt>
                <c:pt idx="2">
                  <c:v>Commits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TEAM_WORKLOAD!$A$4:$A$7</c:f>
              <c:strCache>
                <c:ptCount val="4"/>
                <c:pt idx="0">
                  <c:v>Girith Choudhary</c:v>
                </c:pt>
                <c:pt idx="1">
                  <c:v>Krishna Panjiyar</c:v>
                </c:pt>
                <c:pt idx="2">
                  <c:v>Manasa Sadhu</c:v>
                </c:pt>
                <c:pt idx="3">
                  <c:v>Tej Yenugunti</c:v>
                </c:pt>
              </c:strCache>
            </c:strRef>
          </c:cat>
          <c:val>
            <c:numRef>
              <c:f>TEAM_WORKLOAD!$C$4:$C$7</c:f>
              <c:numCache>
                <c:formatCode>General</c:formatCode>
                <c:ptCount val="4"/>
                <c:pt idx="0">
                  <c:v>78</c:v>
                </c:pt>
                <c:pt idx="1">
                  <c:v>66</c:v>
                </c:pt>
                <c:pt idx="2">
                  <c:v>60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B-3844-8882-80BDEFC53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009359"/>
        <c:axId val="1304011087"/>
      </c:barChart>
      <c:catAx>
        <c:axId val="130400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11087"/>
        <c:crosses val="autoZero"/>
        <c:auto val="1"/>
        <c:lblAlgn val="ctr"/>
        <c:lblOffset val="100"/>
        <c:noMultiLvlLbl val="0"/>
      </c:catAx>
      <c:valAx>
        <c:axId val="13040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0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Commits Trend Over 12 Weeks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WEEKLY_PROGRESS!$B$2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WEEKLY_PROGRESS!$A$3:$A$13</c:f>
              <c:strCache>
                <c:ptCount val="11"/>
                <c:pt idx="0">
                  <c:v>Week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  <c:pt idx="9">
                  <c:v>Week 9</c:v>
                </c:pt>
                <c:pt idx="10">
                  <c:v>Week 10</c:v>
                </c:pt>
              </c:strCache>
            </c:strRef>
          </c:cat>
          <c:val>
            <c:numRef>
              <c:f>WEEKLY_PROGRESS!$B$3:$B$13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73-0E40-99AD-69467B0AEF45}"/>
            </c:ext>
          </c:extLst>
        </c:ser>
        <c:ser>
          <c:idx val="1"/>
          <c:order val="1"/>
          <c:tx>
            <c:strRef>
              <c:f>WEEKLY_PROGRESS!$C$2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WEEKLY_PROGRESS!$A$3:$A$13</c:f>
              <c:strCache>
                <c:ptCount val="11"/>
                <c:pt idx="0">
                  <c:v>Week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  <c:pt idx="9">
                  <c:v>Week 9</c:v>
                </c:pt>
                <c:pt idx="10">
                  <c:v>Week 10</c:v>
                </c:pt>
              </c:strCache>
            </c:strRef>
          </c:cat>
          <c:val>
            <c:numRef>
              <c:f>WEEKLY_PROGRESS!$C$3:$C$13</c:f>
              <c:numCache>
                <c:formatCode>General</c:formatCode>
                <c:ptCount val="11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73-0E40-99AD-69467B0AEF45}"/>
            </c:ext>
          </c:extLst>
        </c:ser>
        <c:ser>
          <c:idx val="2"/>
          <c:order val="2"/>
          <c:tx>
            <c:strRef>
              <c:f>WEEKLY_PROGRESS!$D$2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WEEKLY_PROGRESS!$A$3:$A$13</c:f>
              <c:strCache>
                <c:ptCount val="11"/>
                <c:pt idx="0">
                  <c:v>Week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  <c:pt idx="9">
                  <c:v>Week 9</c:v>
                </c:pt>
                <c:pt idx="10">
                  <c:v>Week 10</c:v>
                </c:pt>
              </c:strCache>
            </c:strRef>
          </c:cat>
          <c:val>
            <c:numRef>
              <c:f>WEEKLY_PROGRESS!$D$3:$D$13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E73-0E40-99AD-69467B0AEF45}"/>
            </c:ext>
          </c:extLst>
        </c:ser>
        <c:ser>
          <c:idx val="3"/>
          <c:order val="3"/>
          <c:tx>
            <c:strRef>
              <c:f>WEEKLY_PROGRESS!$E$2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WEEKLY_PROGRESS!$A$3:$A$13</c:f>
              <c:strCache>
                <c:ptCount val="11"/>
                <c:pt idx="0">
                  <c:v>Week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  <c:pt idx="9">
                  <c:v>Week 9</c:v>
                </c:pt>
                <c:pt idx="10">
                  <c:v>Week 10</c:v>
                </c:pt>
              </c:strCache>
            </c:strRef>
          </c:cat>
          <c:val>
            <c:numRef>
              <c:f>WEEKLY_PROGRESS!$E$3:$E$13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E73-0E40-99AD-69467B0AE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9</xdr:row>
      <xdr:rowOff>63500</xdr:rowOff>
    </xdr:from>
    <xdr:to>
      <xdr:col>5</xdr:col>
      <xdr:colOff>622300</xdr:colOff>
      <xdr:row>32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138136-2F3F-A2E0-4A49-CD81D31B6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596900</xdr:colOff>
      <xdr:row>9</xdr:row>
      <xdr:rowOff>25400</xdr:rowOff>
    </xdr:from>
    <xdr:to>
      <xdr:col>17</xdr:col>
      <xdr:colOff>468691</xdr:colOff>
      <xdr:row>32</xdr:row>
      <xdr:rowOff>15119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C5F926-C7CB-CA4B-41AF-02F5474B5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125" workbookViewId="0">
      <selection activeCell="I21" sqref="I21"/>
    </sheetView>
  </sheetViews>
  <sheetFormatPr baseColWidth="10" defaultColWidth="8.83203125" defaultRowHeight="15" x14ac:dyDescent="0.2"/>
  <cols>
    <col min="1" max="1" width="20" customWidth="1"/>
    <col min="2" max="5" width="18" customWidth="1"/>
  </cols>
  <sheetData>
    <row r="1" spans="1:5" ht="30" customHeight="1" x14ac:dyDescent="0.2">
      <c r="A1" s="18" t="s">
        <v>0</v>
      </c>
      <c r="B1" s="17"/>
      <c r="C1" s="17"/>
      <c r="D1" s="17"/>
      <c r="E1" s="17"/>
    </row>
    <row r="3" spans="1:5" ht="22" customHeight="1" x14ac:dyDescent="0.2">
      <c r="A3" s="19" t="s">
        <v>1</v>
      </c>
      <c r="B3" s="17"/>
      <c r="C3" s="17"/>
      <c r="D3" s="17"/>
      <c r="E3" s="17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5" ht="20" x14ac:dyDescent="0.2">
      <c r="A5" s="2">
        <v>6</v>
      </c>
      <c r="B5" s="2">
        <v>48</v>
      </c>
      <c r="C5" s="2">
        <v>261</v>
      </c>
      <c r="D5" s="2" t="s">
        <v>6</v>
      </c>
    </row>
    <row r="6" spans="1:5" x14ac:dyDescent="0.2">
      <c r="A6" s="3" t="s">
        <v>7</v>
      </c>
      <c r="B6" s="3" t="s">
        <v>7</v>
      </c>
      <c r="C6" s="3" t="s">
        <v>8</v>
      </c>
      <c r="D6" s="3" t="s">
        <v>9</v>
      </c>
    </row>
    <row r="7" spans="1:5" x14ac:dyDescent="0.2">
      <c r="A7" s="1" t="s">
        <v>10</v>
      </c>
      <c r="B7" s="1" t="s">
        <v>11</v>
      </c>
      <c r="C7" s="1" t="s">
        <v>12</v>
      </c>
      <c r="D7" s="1" t="s">
        <v>13</v>
      </c>
    </row>
    <row r="8" spans="1:5" ht="20" x14ac:dyDescent="0.2">
      <c r="A8" s="2">
        <v>4</v>
      </c>
      <c r="B8" s="2" t="s">
        <v>14</v>
      </c>
      <c r="C8" s="2">
        <v>0</v>
      </c>
      <c r="D8" s="2" t="s">
        <v>15</v>
      </c>
    </row>
    <row r="9" spans="1:5" x14ac:dyDescent="0.2">
      <c r="A9" s="3" t="s">
        <v>16</v>
      </c>
      <c r="B9" s="3" t="s">
        <v>17</v>
      </c>
      <c r="C9" s="3" t="s">
        <v>18</v>
      </c>
      <c r="D9" s="3" t="s">
        <v>19</v>
      </c>
    </row>
    <row r="12" spans="1:5" ht="16" x14ac:dyDescent="0.2">
      <c r="A12" s="16" t="s">
        <v>20</v>
      </c>
      <c r="B12" s="17"/>
      <c r="C12" s="17"/>
      <c r="D12" s="17"/>
      <c r="E12" s="17"/>
    </row>
    <row r="13" spans="1:5" ht="32" x14ac:dyDescent="0.2">
      <c r="A13" s="5" t="s">
        <v>21</v>
      </c>
      <c r="B13" s="5" t="s">
        <v>22</v>
      </c>
      <c r="C13" s="5" t="s">
        <v>23</v>
      </c>
      <c r="D13" s="5" t="s">
        <v>24</v>
      </c>
    </row>
    <row r="15" spans="1:5" ht="16" x14ac:dyDescent="0.2">
      <c r="A15" s="16" t="s">
        <v>25</v>
      </c>
      <c r="B15" s="17"/>
      <c r="C15" s="17"/>
      <c r="D15" s="17"/>
      <c r="E15" s="17"/>
    </row>
    <row r="16" spans="1:5" ht="17" x14ac:dyDescent="0.2">
      <c r="A16" s="6" t="s">
        <v>26</v>
      </c>
      <c r="B16" s="6" t="s">
        <v>27</v>
      </c>
      <c r="C16" s="6" t="s">
        <v>4</v>
      </c>
      <c r="D16" s="6" t="s">
        <v>28</v>
      </c>
      <c r="E16" s="6" t="s">
        <v>29</v>
      </c>
    </row>
    <row r="17" spans="1:5" ht="32" x14ac:dyDescent="0.2">
      <c r="A17" s="7" t="s">
        <v>30</v>
      </c>
      <c r="B17" s="7" t="s">
        <v>31</v>
      </c>
      <c r="C17" s="5">
        <v>62</v>
      </c>
      <c r="D17" s="5">
        <v>78</v>
      </c>
      <c r="E17" s="5" t="s">
        <v>32</v>
      </c>
    </row>
    <row r="18" spans="1:5" ht="16" x14ac:dyDescent="0.2">
      <c r="A18" s="7" t="s">
        <v>33</v>
      </c>
      <c r="B18" s="7" t="s">
        <v>34</v>
      </c>
      <c r="C18" s="5">
        <v>52</v>
      </c>
      <c r="D18" s="5">
        <v>66</v>
      </c>
      <c r="E18" s="5" t="s">
        <v>35</v>
      </c>
    </row>
    <row r="19" spans="1:5" ht="16" x14ac:dyDescent="0.2">
      <c r="A19" s="7" t="s">
        <v>36</v>
      </c>
      <c r="B19" s="7" t="s">
        <v>37</v>
      </c>
      <c r="C19" s="5">
        <v>58</v>
      </c>
      <c r="D19" s="5">
        <v>60</v>
      </c>
      <c r="E19" s="5" t="s">
        <v>38</v>
      </c>
    </row>
    <row r="20" spans="1:5" ht="16" x14ac:dyDescent="0.2">
      <c r="A20" s="7" t="s">
        <v>39</v>
      </c>
      <c r="B20" s="7" t="s">
        <v>40</v>
      </c>
      <c r="C20" s="5">
        <v>50</v>
      </c>
      <c r="D20" s="5">
        <v>61</v>
      </c>
      <c r="E20" s="5" t="s">
        <v>41</v>
      </c>
    </row>
  </sheetData>
  <mergeCells count="4">
    <mergeCell ref="A15:E15"/>
    <mergeCell ref="A1:E1"/>
    <mergeCell ref="A12:E1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sqref="A1:E1"/>
    </sheetView>
  </sheetViews>
  <sheetFormatPr baseColWidth="10" defaultColWidth="8.83203125" defaultRowHeight="15" x14ac:dyDescent="0.2"/>
  <cols>
    <col min="1" max="1" width="18" customWidth="1"/>
    <col min="2" max="5" width="15" customWidth="1"/>
  </cols>
  <sheetData>
    <row r="1" spans="1:5" ht="30" customHeight="1" x14ac:dyDescent="0.2">
      <c r="A1" s="18" t="s">
        <v>42</v>
      </c>
      <c r="B1" s="17"/>
      <c r="C1" s="17"/>
      <c r="D1" s="17"/>
      <c r="E1" s="17"/>
    </row>
    <row r="3" spans="1:5" ht="17" x14ac:dyDescent="0.2">
      <c r="A3" s="6" t="s">
        <v>43</v>
      </c>
      <c r="B3" s="6" t="s">
        <v>44</v>
      </c>
      <c r="C3" s="6" t="s">
        <v>4</v>
      </c>
      <c r="D3" s="6" t="s">
        <v>45</v>
      </c>
      <c r="E3" s="6" t="s">
        <v>46</v>
      </c>
    </row>
    <row r="4" spans="1:5" ht="16" x14ac:dyDescent="0.2">
      <c r="A4" s="7" t="s">
        <v>47</v>
      </c>
      <c r="B4" s="7" t="s">
        <v>48</v>
      </c>
      <c r="C4" s="5">
        <v>34</v>
      </c>
      <c r="D4" s="5">
        <v>8</v>
      </c>
      <c r="E4" s="7" t="s">
        <v>49</v>
      </c>
    </row>
    <row r="5" spans="1:5" ht="16" x14ac:dyDescent="0.2">
      <c r="A5" s="7" t="s">
        <v>50</v>
      </c>
      <c r="B5" s="7" t="s">
        <v>51</v>
      </c>
      <c r="C5" s="5">
        <v>47</v>
      </c>
      <c r="D5" s="5">
        <v>8</v>
      </c>
      <c r="E5" s="7" t="s">
        <v>49</v>
      </c>
    </row>
    <row r="6" spans="1:5" ht="16" x14ac:dyDescent="0.2">
      <c r="A6" s="7" t="s">
        <v>52</v>
      </c>
      <c r="B6" s="7" t="s">
        <v>53</v>
      </c>
      <c r="C6" s="5">
        <v>39</v>
      </c>
      <c r="D6" s="5">
        <v>8</v>
      </c>
      <c r="E6" s="7" t="s">
        <v>49</v>
      </c>
    </row>
    <row r="7" spans="1:5" ht="16" x14ac:dyDescent="0.2">
      <c r="A7" s="7" t="s">
        <v>54</v>
      </c>
      <c r="B7" s="7" t="s">
        <v>55</v>
      </c>
      <c r="C7" s="5">
        <v>50</v>
      </c>
      <c r="D7" s="5">
        <v>8</v>
      </c>
      <c r="E7" s="7" t="s">
        <v>49</v>
      </c>
    </row>
    <row r="8" spans="1:5" ht="16" x14ac:dyDescent="0.2">
      <c r="A8" s="7" t="s">
        <v>56</v>
      </c>
      <c r="B8" s="7" t="s">
        <v>57</v>
      </c>
      <c r="C8" s="5">
        <v>47</v>
      </c>
      <c r="D8" s="5">
        <v>8</v>
      </c>
      <c r="E8" s="7" t="s">
        <v>49</v>
      </c>
    </row>
    <row r="9" spans="1:5" ht="16" x14ac:dyDescent="0.2">
      <c r="A9" s="7" t="s">
        <v>58</v>
      </c>
      <c r="B9" s="7" t="s">
        <v>59</v>
      </c>
      <c r="C9" s="5">
        <v>44</v>
      </c>
      <c r="D9" s="5">
        <v>8</v>
      </c>
      <c r="E9" s="7" t="s">
        <v>49</v>
      </c>
    </row>
    <row r="10" spans="1:5" x14ac:dyDescent="0.2">
      <c r="A10" s="8" t="s">
        <v>60</v>
      </c>
      <c r="C10" s="9">
        <f>SUM(C3:C8)</f>
        <v>217</v>
      </c>
      <c r="D10" s="9">
        <f>SUM(D3:D8)</f>
        <v>40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zoomScale="84" workbookViewId="0">
      <selection activeCell="X31" sqref="X31"/>
    </sheetView>
  </sheetViews>
  <sheetFormatPr baseColWidth="10" defaultColWidth="8.83203125" defaultRowHeight="15" x14ac:dyDescent="0.2"/>
  <cols>
    <col min="1" max="1" width="20" customWidth="1"/>
    <col min="2" max="3" width="18" customWidth="1"/>
  </cols>
  <sheetData>
    <row r="1" spans="1:3" ht="30" customHeight="1" x14ac:dyDescent="0.2">
      <c r="A1" s="18" t="s">
        <v>61</v>
      </c>
      <c r="B1" s="17"/>
      <c r="C1" s="17"/>
    </row>
    <row r="3" spans="1:3" ht="17" x14ac:dyDescent="0.2">
      <c r="A3" s="6" t="s">
        <v>26</v>
      </c>
      <c r="B3" s="6" t="s">
        <v>4</v>
      </c>
      <c r="C3" s="6" t="s">
        <v>28</v>
      </c>
    </row>
    <row r="4" spans="1:3" ht="16" x14ac:dyDescent="0.2">
      <c r="A4" s="7" t="s">
        <v>30</v>
      </c>
      <c r="B4" s="5">
        <v>62</v>
      </c>
      <c r="C4" s="5">
        <v>78</v>
      </c>
    </row>
    <row r="5" spans="1:3" ht="16" x14ac:dyDescent="0.2">
      <c r="A5" s="7" t="s">
        <v>33</v>
      </c>
      <c r="B5" s="5">
        <v>52</v>
      </c>
      <c r="C5" s="5">
        <v>66</v>
      </c>
    </row>
    <row r="6" spans="1:3" ht="16" x14ac:dyDescent="0.2">
      <c r="A6" s="7" t="s">
        <v>36</v>
      </c>
      <c r="B6" s="5">
        <v>58</v>
      </c>
      <c r="C6" s="5">
        <v>60</v>
      </c>
    </row>
    <row r="7" spans="1:3" ht="16" x14ac:dyDescent="0.2">
      <c r="A7" s="7" t="s">
        <v>39</v>
      </c>
      <c r="B7" s="5">
        <v>50</v>
      </c>
      <c r="C7" s="5">
        <v>61</v>
      </c>
    </row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topLeftCell="A7" workbookViewId="0">
      <selection activeCell="I11" sqref="I11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40" customWidth="1"/>
    <col min="4" max="4" width="12" customWidth="1"/>
    <col min="5" max="6" width="10" customWidth="1"/>
  </cols>
  <sheetData>
    <row r="1" spans="1:6" ht="20" customHeight="1" x14ac:dyDescent="0.2">
      <c r="A1" s="21" t="s">
        <v>62</v>
      </c>
      <c r="B1" s="17"/>
      <c r="C1" s="17"/>
      <c r="D1" s="17"/>
      <c r="E1" s="17"/>
      <c r="F1" s="17"/>
    </row>
    <row r="2" spans="1:6" x14ac:dyDescent="0.2">
      <c r="A2" s="20" t="s">
        <v>63</v>
      </c>
      <c r="B2" s="17"/>
      <c r="C2" s="17"/>
      <c r="D2" s="17"/>
      <c r="E2" s="17"/>
      <c r="F2" s="17"/>
    </row>
    <row r="3" spans="1:6" ht="17" x14ac:dyDescent="0.2">
      <c r="A3" s="6" t="s">
        <v>64</v>
      </c>
      <c r="B3" s="6" t="s">
        <v>65</v>
      </c>
      <c r="C3" s="6" t="s">
        <v>66</v>
      </c>
      <c r="D3" s="6" t="s">
        <v>67</v>
      </c>
      <c r="E3" s="6" t="s">
        <v>46</v>
      </c>
      <c r="F3" s="6"/>
    </row>
    <row r="4" spans="1:6" ht="16" x14ac:dyDescent="0.2">
      <c r="A4" s="5" t="s">
        <v>68</v>
      </c>
      <c r="B4" s="5">
        <v>3</v>
      </c>
      <c r="C4" s="7" t="s">
        <v>69</v>
      </c>
      <c r="D4" s="7" t="s">
        <v>70</v>
      </c>
      <c r="E4" s="7" t="s">
        <v>49</v>
      </c>
    </row>
    <row r="5" spans="1:6" ht="16" x14ac:dyDescent="0.2">
      <c r="A5" s="5" t="s">
        <v>71</v>
      </c>
      <c r="B5" s="5">
        <v>5</v>
      </c>
      <c r="C5" s="7" t="s">
        <v>72</v>
      </c>
      <c r="D5" s="7" t="s">
        <v>73</v>
      </c>
      <c r="E5" s="7" t="s">
        <v>49</v>
      </c>
    </row>
    <row r="6" spans="1:6" ht="16" x14ac:dyDescent="0.2">
      <c r="A6" s="5" t="s">
        <v>74</v>
      </c>
      <c r="B6" s="5">
        <v>8</v>
      </c>
      <c r="C6" s="7" t="s">
        <v>75</v>
      </c>
      <c r="D6" s="7" t="s">
        <v>76</v>
      </c>
      <c r="E6" s="7" t="s">
        <v>49</v>
      </c>
    </row>
    <row r="7" spans="1:6" ht="16" x14ac:dyDescent="0.2">
      <c r="A7" s="5" t="s">
        <v>77</v>
      </c>
      <c r="B7" s="5">
        <v>5</v>
      </c>
      <c r="C7" s="7" t="s">
        <v>78</v>
      </c>
      <c r="D7" s="7" t="s">
        <v>76</v>
      </c>
      <c r="E7" s="7" t="s">
        <v>49</v>
      </c>
    </row>
    <row r="8" spans="1:6" ht="16" x14ac:dyDescent="0.2">
      <c r="A8" s="5" t="s">
        <v>79</v>
      </c>
      <c r="B8" s="5">
        <v>3</v>
      </c>
      <c r="C8" s="7" t="s">
        <v>80</v>
      </c>
      <c r="D8" s="7" t="s">
        <v>70</v>
      </c>
      <c r="E8" s="7" t="s">
        <v>49</v>
      </c>
    </row>
    <row r="9" spans="1:6" ht="16" x14ac:dyDescent="0.2">
      <c r="A9" s="5" t="s">
        <v>81</v>
      </c>
      <c r="B9" s="5">
        <v>2</v>
      </c>
      <c r="C9" s="7" t="s">
        <v>82</v>
      </c>
      <c r="D9" s="7" t="s">
        <v>70</v>
      </c>
      <c r="E9" s="7" t="s">
        <v>49</v>
      </c>
    </row>
    <row r="10" spans="1:6" ht="16" x14ac:dyDescent="0.2">
      <c r="A10" s="5" t="s">
        <v>83</v>
      </c>
      <c r="B10" s="5">
        <v>5</v>
      </c>
      <c r="C10" s="7" t="s">
        <v>84</v>
      </c>
      <c r="D10" s="7" t="s">
        <v>73</v>
      </c>
      <c r="E10" s="7" t="s">
        <v>49</v>
      </c>
    </row>
    <row r="11" spans="1:6" ht="16" x14ac:dyDescent="0.2">
      <c r="A11" s="5" t="s">
        <v>85</v>
      </c>
      <c r="B11" s="5">
        <v>3</v>
      </c>
      <c r="C11" s="7" t="s">
        <v>86</v>
      </c>
      <c r="D11" s="7" t="s">
        <v>73</v>
      </c>
      <c r="E11" s="7" t="s">
        <v>49</v>
      </c>
    </row>
    <row r="13" spans="1:6" ht="20" customHeight="1" x14ac:dyDescent="0.2">
      <c r="A13" s="21" t="s">
        <v>87</v>
      </c>
      <c r="B13" s="17"/>
      <c r="C13" s="17"/>
      <c r="D13" s="17"/>
      <c r="E13" s="17"/>
      <c r="F13" s="17"/>
    </row>
    <row r="14" spans="1:6" x14ac:dyDescent="0.2">
      <c r="A14" s="20" t="s">
        <v>88</v>
      </c>
      <c r="B14" s="17"/>
      <c r="C14" s="17"/>
      <c r="D14" s="17"/>
      <c r="E14" s="17"/>
      <c r="F14" s="17"/>
    </row>
    <row r="15" spans="1:6" ht="17" x14ac:dyDescent="0.2">
      <c r="A15" s="6" t="s">
        <v>64</v>
      </c>
      <c r="B15" s="6" t="s">
        <v>65</v>
      </c>
      <c r="C15" s="6" t="s">
        <v>66</v>
      </c>
      <c r="D15" s="6" t="s">
        <v>67</v>
      </c>
      <c r="E15" s="6" t="s">
        <v>46</v>
      </c>
      <c r="F15" s="6"/>
    </row>
    <row r="16" spans="1:6" ht="16" x14ac:dyDescent="0.2">
      <c r="A16" s="5" t="s">
        <v>89</v>
      </c>
      <c r="B16" s="5">
        <v>8</v>
      </c>
      <c r="C16" s="7" t="s">
        <v>90</v>
      </c>
      <c r="D16" s="7" t="s">
        <v>70</v>
      </c>
      <c r="E16" s="7" t="s">
        <v>49</v>
      </c>
    </row>
    <row r="17" spans="1:6" ht="16" x14ac:dyDescent="0.2">
      <c r="A17" s="5" t="s">
        <v>91</v>
      </c>
      <c r="B17" s="5">
        <v>5</v>
      </c>
      <c r="C17" s="7" t="s">
        <v>92</v>
      </c>
      <c r="D17" s="7" t="s">
        <v>73</v>
      </c>
      <c r="E17" s="7" t="s">
        <v>49</v>
      </c>
    </row>
    <row r="18" spans="1:6" ht="16" x14ac:dyDescent="0.2">
      <c r="A18" s="5" t="s">
        <v>93</v>
      </c>
      <c r="B18" s="5">
        <v>5</v>
      </c>
      <c r="C18" s="7" t="s">
        <v>94</v>
      </c>
      <c r="D18" s="7" t="s">
        <v>73</v>
      </c>
      <c r="E18" s="7" t="s">
        <v>49</v>
      </c>
    </row>
    <row r="19" spans="1:6" ht="16" x14ac:dyDescent="0.2">
      <c r="A19" s="5" t="s">
        <v>95</v>
      </c>
      <c r="B19" s="5">
        <v>8</v>
      </c>
      <c r="C19" s="7" t="s">
        <v>96</v>
      </c>
      <c r="D19" s="7" t="s">
        <v>70</v>
      </c>
      <c r="E19" s="7" t="s">
        <v>49</v>
      </c>
    </row>
    <row r="20" spans="1:6" ht="16" x14ac:dyDescent="0.2">
      <c r="A20" s="5" t="s">
        <v>97</v>
      </c>
      <c r="B20" s="5">
        <v>5</v>
      </c>
      <c r="C20" s="7" t="s">
        <v>98</v>
      </c>
      <c r="D20" s="7" t="s">
        <v>73</v>
      </c>
      <c r="E20" s="7" t="s">
        <v>49</v>
      </c>
    </row>
    <row r="21" spans="1:6" ht="16" x14ac:dyDescent="0.2">
      <c r="A21" s="5" t="s">
        <v>99</v>
      </c>
      <c r="B21" s="5">
        <v>8</v>
      </c>
      <c r="C21" s="7" t="s">
        <v>100</v>
      </c>
      <c r="D21" s="7" t="s">
        <v>101</v>
      </c>
      <c r="E21" s="7" t="s">
        <v>49</v>
      </c>
    </row>
    <row r="22" spans="1:6" ht="16" x14ac:dyDescent="0.2">
      <c r="A22" s="5" t="s">
        <v>102</v>
      </c>
      <c r="B22" s="5">
        <v>5</v>
      </c>
      <c r="C22" s="7" t="s">
        <v>103</v>
      </c>
      <c r="D22" s="7" t="s">
        <v>101</v>
      </c>
      <c r="E22" s="7" t="s">
        <v>49</v>
      </c>
    </row>
    <row r="23" spans="1:6" ht="16" x14ac:dyDescent="0.2">
      <c r="A23" s="5" t="s">
        <v>104</v>
      </c>
      <c r="B23" s="5">
        <v>3</v>
      </c>
      <c r="C23" s="7" t="s">
        <v>105</v>
      </c>
      <c r="D23" s="7" t="s">
        <v>70</v>
      </c>
      <c r="E23" s="7" t="s">
        <v>49</v>
      </c>
    </row>
    <row r="25" spans="1:6" ht="20" customHeight="1" x14ac:dyDescent="0.2">
      <c r="A25" s="21" t="s">
        <v>106</v>
      </c>
      <c r="B25" s="17"/>
      <c r="C25" s="17"/>
      <c r="D25" s="17"/>
      <c r="E25" s="17"/>
      <c r="F25" s="17"/>
    </row>
    <row r="26" spans="1:6" x14ac:dyDescent="0.2">
      <c r="A26" s="20" t="s">
        <v>107</v>
      </c>
      <c r="B26" s="17"/>
      <c r="C26" s="17"/>
      <c r="D26" s="17"/>
      <c r="E26" s="17"/>
      <c r="F26" s="17"/>
    </row>
    <row r="27" spans="1:6" ht="17" x14ac:dyDescent="0.2">
      <c r="A27" s="6" t="s">
        <v>64</v>
      </c>
      <c r="B27" s="6" t="s">
        <v>65</v>
      </c>
      <c r="C27" s="6" t="s">
        <v>66</v>
      </c>
      <c r="D27" s="6" t="s">
        <v>67</v>
      </c>
      <c r="E27" s="6" t="s">
        <v>46</v>
      </c>
      <c r="F27" s="6"/>
    </row>
    <row r="28" spans="1:6" ht="16" x14ac:dyDescent="0.2">
      <c r="A28" s="5" t="s">
        <v>108</v>
      </c>
      <c r="B28" s="5">
        <v>8</v>
      </c>
      <c r="C28" s="7" t="s">
        <v>109</v>
      </c>
      <c r="D28" s="7" t="s">
        <v>76</v>
      </c>
      <c r="E28" s="7" t="s">
        <v>49</v>
      </c>
    </row>
    <row r="29" spans="1:6" ht="16" x14ac:dyDescent="0.2">
      <c r="A29" s="5" t="s">
        <v>110</v>
      </c>
      <c r="B29" s="5">
        <v>5</v>
      </c>
      <c r="C29" s="7" t="s">
        <v>111</v>
      </c>
      <c r="D29" s="7" t="s">
        <v>73</v>
      </c>
      <c r="E29" s="7" t="s">
        <v>49</v>
      </c>
    </row>
    <row r="30" spans="1:6" ht="16" x14ac:dyDescent="0.2">
      <c r="A30" s="5" t="s">
        <v>112</v>
      </c>
      <c r="B30" s="5">
        <v>3</v>
      </c>
      <c r="C30" s="7" t="s">
        <v>113</v>
      </c>
      <c r="D30" s="7" t="s">
        <v>76</v>
      </c>
      <c r="E30" s="7" t="s">
        <v>49</v>
      </c>
    </row>
    <row r="31" spans="1:6" ht="16" x14ac:dyDescent="0.2">
      <c r="A31" s="5" t="s">
        <v>114</v>
      </c>
      <c r="B31" s="5">
        <v>8</v>
      </c>
      <c r="C31" s="7" t="s">
        <v>115</v>
      </c>
      <c r="D31" s="7" t="s">
        <v>70</v>
      </c>
      <c r="E31" s="7" t="s">
        <v>49</v>
      </c>
    </row>
    <row r="32" spans="1:6" ht="16" x14ac:dyDescent="0.2">
      <c r="A32" s="5" t="s">
        <v>116</v>
      </c>
      <c r="B32" s="5">
        <v>5</v>
      </c>
      <c r="C32" s="7" t="s">
        <v>117</v>
      </c>
      <c r="D32" s="7" t="s">
        <v>70</v>
      </c>
      <c r="E32" s="7" t="s">
        <v>49</v>
      </c>
    </row>
    <row r="33" spans="1:6" ht="16" x14ac:dyDescent="0.2">
      <c r="A33" s="5" t="s">
        <v>118</v>
      </c>
      <c r="B33" s="5">
        <v>5</v>
      </c>
      <c r="C33" s="7" t="s">
        <v>119</v>
      </c>
      <c r="D33" s="7" t="s">
        <v>76</v>
      </c>
      <c r="E33" s="7" t="s">
        <v>49</v>
      </c>
    </row>
    <row r="34" spans="1:6" ht="16" x14ac:dyDescent="0.2">
      <c r="A34" s="5" t="s">
        <v>120</v>
      </c>
      <c r="B34" s="5">
        <v>2</v>
      </c>
      <c r="C34" s="7" t="s">
        <v>121</v>
      </c>
      <c r="D34" s="7" t="s">
        <v>73</v>
      </c>
      <c r="E34" s="7" t="s">
        <v>49</v>
      </c>
    </row>
    <row r="35" spans="1:6" ht="16" x14ac:dyDescent="0.2">
      <c r="A35" s="5" t="s">
        <v>122</v>
      </c>
      <c r="B35" s="5">
        <v>3</v>
      </c>
      <c r="C35" s="7" t="s">
        <v>123</v>
      </c>
      <c r="D35" s="7" t="s">
        <v>76</v>
      </c>
      <c r="E35" s="7" t="s">
        <v>49</v>
      </c>
    </row>
    <row r="37" spans="1:6" ht="20" customHeight="1" x14ac:dyDescent="0.2">
      <c r="A37" s="21" t="s">
        <v>124</v>
      </c>
      <c r="B37" s="17"/>
      <c r="C37" s="17"/>
      <c r="D37" s="17"/>
      <c r="E37" s="17"/>
      <c r="F37" s="17"/>
    </row>
    <row r="38" spans="1:6" x14ac:dyDescent="0.2">
      <c r="A38" s="20" t="s">
        <v>125</v>
      </c>
      <c r="B38" s="17"/>
      <c r="C38" s="17"/>
      <c r="D38" s="17"/>
      <c r="E38" s="17"/>
      <c r="F38" s="17"/>
    </row>
    <row r="39" spans="1:6" ht="17" x14ac:dyDescent="0.2">
      <c r="A39" s="6" t="s">
        <v>64</v>
      </c>
      <c r="B39" s="6" t="s">
        <v>65</v>
      </c>
      <c r="C39" s="6" t="s">
        <v>66</v>
      </c>
      <c r="D39" s="6" t="s">
        <v>67</v>
      </c>
      <c r="E39" s="6" t="s">
        <v>46</v>
      </c>
      <c r="F39" s="6"/>
    </row>
    <row r="40" spans="1:6" ht="16" x14ac:dyDescent="0.2">
      <c r="A40" s="5" t="s">
        <v>126</v>
      </c>
      <c r="B40" s="5">
        <v>8</v>
      </c>
      <c r="C40" s="7" t="s">
        <v>127</v>
      </c>
      <c r="D40" s="7" t="s">
        <v>101</v>
      </c>
      <c r="E40" s="7" t="s">
        <v>49</v>
      </c>
    </row>
    <row r="41" spans="1:6" ht="16" x14ac:dyDescent="0.2">
      <c r="A41" s="5" t="s">
        <v>128</v>
      </c>
      <c r="B41" s="5">
        <v>8</v>
      </c>
      <c r="C41" s="7" t="s">
        <v>129</v>
      </c>
      <c r="D41" s="7" t="s">
        <v>101</v>
      </c>
      <c r="E41" s="7" t="s">
        <v>49</v>
      </c>
    </row>
    <row r="42" spans="1:6" ht="16" x14ac:dyDescent="0.2">
      <c r="A42" s="5" t="s">
        <v>130</v>
      </c>
      <c r="B42" s="5">
        <v>8</v>
      </c>
      <c r="C42" s="7" t="s">
        <v>131</v>
      </c>
      <c r="D42" s="7" t="s">
        <v>101</v>
      </c>
      <c r="E42" s="7" t="s">
        <v>49</v>
      </c>
    </row>
    <row r="43" spans="1:6" ht="16" x14ac:dyDescent="0.2">
      <c r="A43" s="5" t="s">
        <v>132</v>
      </c>
      <c r="B43" s="5">
        <v>5</v>
      </c>
      <c r="C43" s="7" t="s">
        <v>133</v>
      </c>
      <c r="D43" s="7" t="s">
        <v>76</v>
      </c>
      <c r="E43" s="7" t="s">
        <v>49</v>
      </c>
    </row>
    <row r="44" spans="1:6" ht="16" x14ac:dyDescent="0.2">
      <c r="A44" s="5" t="s">
        <v>134</v>
      </c>
      <c r="B44" s="5">
        <v>8</v>
      </c>
      <c r="C44" s="7" t="s">
        <v>135</v>
      </c>
      <c r="D44" s="7" t="s">
        <v>76</v>
      </c>
      <c r="E44" s="7" t="s">
        <v>49</v>
      </c>
    </row>
    <row r="45" spans="1:6" ht="16" x14ac:dyDescent="0.2">
      <c r="A45" s="5" t="s">
        <v>136</v>
      </c>
      <c r="B45" s="5">
        <v>5</v>
      </c>
      <c r="C45" s="7" t="s">
        <v>137</v>
      </c>
      <c r="D45" s="7" t="s">
        <v>101</v>
      </c>
      <c r="E45" s="7" t="s">
        <v>49</v>
      </c>
    </row>
    <row r="46" spans="1:6" ht="16" x14ac:dyDescent="0.2">
      <c r="A46" s="5" t="s">
        <v>138</v>
      </c>
      <c r="B46" s="5">
        <v>3</v>
      </c>
      <c r="C46" s="7" t="s">
        <v>139</v>
      </c>
      <c r="D46" s="7" t="s">
        <v>101</v>
      </c>
      <c r="E46" s="7" t="s">
        <v>49</v>
      </c>
    </row>
    <row r="47" spans="1:6" ht="16" x14ac:dyDescent="0.2">
      <c r="A47" s="5" t="s">
        <v>140</v>
      </c>
      <c r="B47" s="5">
        <v>5</v>
      </c>
      <c r="C47" s="7" t="s">
        <v>141</v>
      </c>
      <c r="D47" s="7" t="s">
        <v>76</v>
      </c>
      <c r="E47" s="7" t="s">
        <v>49</v>
      </c>
    </row>
    <row r="49" spans="1:6" ht="20" customHeight="1" x14ac:dyDescent="0.2">
      <c r="A49" s="21" t="s">
        <v>142</v>
      </c>
      <c r="B49" s="17"/>
      <c r="C49" s="17"/>
      <c r="D49" s="17"/>
      <c r="E49" s="17"/>
      <c r="F49" s="17"/>
    </row>
    <row r="50" spans="1:6" x14ac:dyDescent="0.2">
      <c r="A50" s="20" t="s">
        <v>88</v>
      </c>
      <c r="B50" s="17"/>
      <c r="C50" s="17"/>
      <c r="D50" s="17"/>
      <c r="E50" s="17"/>
      <c r="F50" s="17"/>
    </row>
    <row r="51" spans="1:6" ht="17" x14ac:dyDescent="0.2">
      <c r="A51" s="6" t="s">
        <v>64</v>
      </c>
      <c r="B51" s="6" t="s">
        <v>65</v>
      </c>
      <c r="C51" s="6" t="s">
        <v>66</v>
      </c>
      <c r="D51" s="6" t="s">
        <v>67</v>
      </c>
      <c r="E51" s="6" t="s">
        <v>46</v>
      </c>
      <c r="F51" s="6"/>
    </row>
    <row r="52" spans="1:6" ht="16" x14ac:dyDescent="0.2">
      <c r="A52" s="5" t="s">
        <v>143</v>
      </c>
      <c r="B52" s="5">
        <v>8</v>
      </c>
      <c r="C52" s="7" t="s">
        <v>144</v>
      </c>
      <c r="D52" s="7" t="s">
        <v>76</v>
      </c>
      <c r="E52" s="7" t="s">
        <v>49</v>
      </c>
    </row>
    <row r="53" spans="1:6" ht="16" x14ac:dyDescent="0.2">
      <c r="A53" s="5" t="s">
        <v>145</v>
      </c>
      <c r="B53" s="5">
        <v>5</v>
      </c>
      <c r="C53" s="7" t="s">
        <v>146</v>
      </c>
      <c r="D53" s="7" t="s">
        <v>76</v>
      </c>
      <c r="E53" s="7" t="s">
        <v>49</v>
      </c>
    </row>
    <row r="54" spans="1:6" ht="16" x14ac:dyDescent="0.2">
      <c r="A54" s="5" t="s">
        <v>147</v>
      </c>
      <c r="B54" s="5">
        <v>8</v>
      </c>
      <c r="C54" s="7" t="s">
        <v>148</v>
      </c>
      <c r="D54" s="7" t="s">
        <v>76</v>
      </c>
      <c r="E54" s="7" t="s">
        <v>49</v>
      </c>
    </row>
    <row r="55" spans="1:6" ht="16" x14ac:dyDescent="0.2">
      <c r="A55" s="5" t="s">
        <v>149</v>
      </c>
      <c r="B55" s="5">
        <v>8</v>
      </c>
      <c r="C55" s="7" t="s">
        <v>150</v>
      </c>
      <c r="D55" s="7" t="s">
        <v>76</v>
      </c>
      <c r="E55" s="7" t="s">
        <v>49</v>
      </c>
    </row>
    <row r="56" spans="1:6" ht="16" x14ac:dyDescent="0.2">
      <c r="A56" s="5" t="s">
        <v>151</v>
      </c>
      <c r="B56" s="5">
        <v>5</v>
      </c>
      <c r="C56" s="7" t="s">
        <v>152</v>
      </c>
      <c r="D56" s="7" t="s">
        <v>76</v>
      </c>
      <c r="E56" s="7" t="s">
        <v>49</v>
      </c>
    </row>
    <row r="57" spans="1:6" ht="16" x14ac:dyDescent="0.2">
      <c r="A57" s="5" t="s">
        <v>153</v>
      </c>
      <c r="B57" s="5">
        <v>5</v>
      </c>
      <c r="C57" s="7" t="s">
        <v>154</v>
      </c>
      <c r="D57" s="7" t="s">
        <v>70</v>
      </c>
      <c r="E57" s="7" t="s">
        <v>49</v>
      </c>
    </row>
    <row r="58" spans="1:6" ht="16" x14ac:dyDescent="0.2">
      <c r="A58" s="5" t="s">
        <v>155</v>
      </c>
      <c r="B58" s="5">
        <v>3</v>
      </c>
      <c r="C58" s="7" t="s">
        <v>156</v>
      </c>
      <c r="D58" s="7" t="s">
        <v>76</v>
      </c>
      <c r="E58" s="7" t="s">
        <v>49</v>
      </c>
    </row>
    <row r="59" spans="1:6" ht="16" x14ac:dyDescent="0.2">
      <c r="A59" s="5" t="s">
        <v>157</v>
      </c>
      <c r="B59" s="5">
        <v>5</v>
      </c>
      <c r="C59" s="7" t="s">
        <v>158</v>
      </c>
      <c r="D59" s="7" t="s">
        <v>70</v>
      </c>
      <c r="E59" s="7" t="s">
        <v>49</v>
      </c>
    </row>
    <row r="61" spans="1:6" ht="20" customHeight="1" x14ac:dyDescent="0.2">
      <c r="A61" s="21" t="s">
        <v>159</v>
      </c>
      <c r="B61" s="17"/>
      <c r="C61" s="17"/>
      <c r="D61" s="17"/>
      <c r="E61" s="17"/>
      <c r="F61" s="17"/>
    </row>
    <row r="62" spans="1:6" x14ac:dyDescent="0.2">
      <c r="A62" s="20" t="s">
        <v>160</v>
      </c>
      <c r="B62" s="17"/>
      <c r="C62" s="17"/>
      <c r="D62" s="17"/>
      <c r="E62" s="17"/>
      <c r="F62" s="17"/>
    </row>
    <row r="63" spans="1:6" ht="17" x14ac:dyDescent="0.2">
      <c r="A63" s="6" t="s">
        <v>64</v>
      </c>
      <c r="B63" s="6" t="s">
        <v>65</v>
      </c>
      <c r="C63" s="6" t="s">
        <v>66</v>
      </c>
      <c r="D63" s="6" t="s">
        <v>67</v>
      </c>
      <c r="E63" s="6" t="s">
        <v>46</v>
      </c>
      <c r="F63" s="6"/>
    </row>
    <row r="64" spans="1:6" ht="16" x14ac:dyDescent="0.2">
      <c r="A64" s="5" t="s">
        <v>161</v>
      </c>
      <c r="B64" s="5">
        <v>5</v>
      </c>
      <c r="C64" s="7" t="s">
        <v>162</v>
      </c>
      <c r="D64" s="7" t="s">
        <v>70</v>
      </c>
      <c r="E64" s="7" t="s">
        <v>49</v>
      </c>
    </row>
    <row r="65" spans="1:5" ht="16" x14ac:dyDescent="0.2">
      <c r="A65" s="5" t="s">
        <v>163</v>
      </c>
      <c r="B65" s="5">
        <v>5</v>
      </c>
      <c r="C65" s="7" t="s">
        <v>164</v>
      </c>
      <c r="D65" s="7" t="s">
        <v>76</v>
      </c>
      <c r="E65" s="7" t="s">
        <v>49</v>
      </c>
    </row>
    <row r="66" spans="1:5" ht="16" x14ac:dyDescent="0.2">
      <c r="A66" s="5" t="s">
        <v>165</v>
      </c>
      <c r="B66" s="5">
        <v>8</v>
      </c>
      <c r="C66" s="7" t="s">
        <v>166</v>
      </c>
      <c r="D66" s="7" t="s">
        <v>73</v>
      </c>
      <c r="E66" s="7" t="s">
        <v>49</v>
      </c>
    </row>
    <row r="67" spans="1:5" ht="16" x14ac:dyDescent="0.2">
      <c r="A67" s="5" t="s">
        <v>167</v>
      </c>
      <c r="B67" s="5">
        <v>8</v>
      </c>
      <c r="C67" s="7" t="s">
        <v>168</v>
      </c>
      <c r="D67" s="7" t="s">
        <v>169</v>
      </c>
      <c r="E67" s="7" t="s">
        <v>49</v>
      </c>
    </row>
    <row r="68" spans="1:5" ht="16" x14ac:dyDescent="0.2">
      <c r="A68" s="5" t="s">
        <v>170</v>
      </c>
      <c r="B68" s="5">
        <v>8</v>
      </c>
      <c r="C68" s="7" t="s">
        <v>171</v>
      </c>
      <c r="D68" s="7" t="s">
        <v>169</v>
      </c>
      <c r="E68" s="7" t="s">
        <v>49</v>
      </c>
    </row>
    <row r="69" spans="1:5" ht="16" x14ac:dyDescent="0.2">
      <c r="A69" s="5" t="s">
        <v>172</v>
      </c>
      <c r="B69" s="5">
        <v>5</v>
      </c>
      <c r="C69" s="7" t="s">
        <v>173</v>
      </c>
      <c r="D69" s="7" t="s">
        <v>169</v>
      </c>
      <c r="E69" s="7" t="s">
        <v>49</v>
      </c>
    </row>
    <row r="70" spans="1:5" ht="16" x14ac:dyDescent="0.2">
      <c r="A70" s="5" t="s">
        <v>174</v>
      </c>
      <c r="B70" s="5">
        <v>3</v>
      </c>
      <c r="C70" s="7" t="s">
        <v>175</v>
      </c>
      <c r="D70" s="7" t="s">
        <v>76</v>
      </c>
      <c r="E70" s="7" t="s">
        <v>49</v>
      </c>
    </row>
    <row r="71" spans="1:5" ht="16" x14ac:dyDescent="0.2">
      <c r="A71" s="5" t="s">
        <v>176</v>
      </c>
      <c r="B71" s="5">
        <v>2</v>
      </c>
      <c r="C71" s="7" t="s">
        <v>177</v>
      </c>
      <c r="D71" s="7" t="s">
        <v>169</v>
      </c>
      <c r="E71" s="7" t="s">
        <v>49</v>
      </c>
    </row>
  </sheetData>
  <mergeCells count="12">
    <mergeCell ref="A1:F1"/>
    <mergeCell ref="A37:F37"/>
    <mergeCell ref="A61:F61"/>
    <mergeCell ref="A50:F50"/>
    <mergeCell ref="A62:F62"/>
    <mergeCell ref="A26:F26"/>
    <mergeCell ref="A25:F25"/>
    <mergeCell ref="A38:F38"/>
    <mergeCell ref="A2:F2"/>
    <mergeCell ref="A49:F49"/>
    <mergeCell ref="A13:F13"/>
    <mergeCell ref="A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zoomScale="133" workbookViewId="0">
      <selection activeCell="F21" sqref="F21"/>
    </sheetView>
  </sheetViews>
  <sheetFormatPr baseColWidth="10" defaultColWidth="8.83203125" defaultRowHeight="15" x14ac:dyDescent="0.2"/>
  <cols>
    <col min="1" max="1" width="25" customWidth="1"/>
    <col min="2" max="3" width="20" customWidth="1"/>
  </cols>
  <sheetData>
    <row r="1" spans="1:4" ht="30" customHeight="1" x14ac:dyDescent="0.2">
      <c r="A1" s="18" t="s">
        <v>178</v>
      </c>
      <c r="B1" s="17"/>
      <c r="C1" s="17"/>
    </row>
    <row r="3" spans="1:4" ht="16" x14ac:dyDescent="0.2">
      <c r="A3" s="16" t="s">
        <v>179</v>
      </c>
      <c r="B3" s="17"/>
      <c r="C3" s="17"/>
    </row>
    <row r="4" spans="1:4" ht="17" x14ac:dyDescent="0.2">
      <c r="A4" s="6" t="s">
        <v>180</v>
      </c>
      <c r="B4" s="6" t="s">
        <v>181</v>
      </c>
      <c r="C4" s="6" t="s">
        <v>182</v>
      </c>
      <c r="D4" s="6" t="s">
        <v>183</v>
      </c>
    </row>
    <row r="5" spans="1:4" ht="16" x14ac:dyDescent="0.2">
      <c r="A5" s="7" t="s">
        <v>184</v>
      </c>
      <c r="B5" s="5">
        <v>48</v>
      </c>
      <c r="C5" s="5">
        <v>48</v>
      </c>
      <c r="D5" s="5" t="s">
        <v>6</v>
      </c>
    </row>
    <row r="6" spans="1:4" ht="16" x14ac:dyDescent="0.2">
      <c r="A6" s="7" t="s">
        <v>185</v>
      </c>
      <c r="B6" s="5">
        <v>261</v>
      </c>
      <c r="C6" s="5">
        <v>261</v>
      </c>
      <c r="D6" s="5" t="s">
        <v>6</v>
      </c>
    </row>
    <row r="7" spans="1:4" ht="16" x14ac:dyDescent="0.2">
      <c r="A7" s="7" t="s">
        <v>186</v>
      </c>
      <c r="B7" s="5">
        <v>6</v>
      </c>
      <c r="C7" s="5">
        <v>6</v>
      </c>
      <c r="D7" s="5" t="s">
        <v>6</v>
      </c>
    </row>
    <row r="8" spans="1:4" ht="16" x14ac:dyDescent="0.2">
      <c r="A8" s="7" t="s">
        <v>187</v>
      </c>
      <c r="B8" s="5">
        <v>18</v>
      </c>
      <c r="C8" s="5">
        <v>18</v>
      </c>
      <c r="D8" s="5" t="s">
        <v>6</v>
      </c>
    </row>
    <row r="11" spans="1:4" ht="16" x14ac:dyDescent="0.2">
      <c r="A11" s="16" t="s">
        <v>188</v>
      </c>
      <c r="B11" s="17"/>
      <c r="C11" s="17"/>
    </row>
    <row r="12" spans="1:4" ht="17" x14ac:dyDescent="0.2">
      <c r="A12" s="6" t="s">
        <v>189</v>
      </c>
      <c r="B12" s="6" t="s">
        <v>190</v>
      </c>
      <c r="C12" s="6" t="s">
        <v>191</v>
      </c>
    </row>
    <row r="13" spans="1:4" ht="16" x14ac:dyDescent="0.2">
      <c r="A13" s="10" t="s">
        <v>192</v>
      </c>
      <c r="B13" s="11" t="s">
        <v>14</v>
      </c>
      <c r="C13" s="11" t="s">
        <v>193</v>
      </c>
    </row>
    <row r="14" spans="1:4" ht="16" x14ac:dyDescent="0.2">
      <c r="A14" s="10" t="s">
        <v>194</v>
      </c>
      <c r="B14" s="11" t="s">
        <v>195</v>
      </c>
      <c r="C14" s="11" t="s">
        <v>196</v>
      </c>
    </row>
    <row r="15" spans="1:4" ht="16" x14ac:dyDescent="0.2">
      <c r="A15" s="10" t="s">
        <v>158</v>
      </c>
      <c r="B15" s="11" t="s">
        <v>6</v>
      </c>
      <c r="C15" s="11" t="s">
        <v>6</v>
      </c>
    </row>
    <row r="16" spans="1:4" ht="16" x14ac:dyDescent="0.2">
      <c r="A16" s="10" t="s">
        <v>197</v>
      </c>
      <c r="B16" s="11" t="s">
        <v>198</v>
      </c>
      <c r="C16" s="11" t="s">
        <v>199</v>
      </c>
    </row>
    <row r="17" spans="1:3" ht="16" x14ac:dyDescent="0.2">
      <c r="A17" s="10" t="s">
        <v>200</v>
      </c>
      <c r="B17" s="11" t="s">
        <v>201</v>
      </c>
      <c r="C17" s="11" t="s">
        <v>202</v>
      </c>
    </row>
    <row r="20" spans="1:3" ht="16" x14ac:dyDescent="0.2">
      <c r="A20" s="16" t="s">
        <v>203</v>
      </c>
      <c r="B20" s="17"/>
      <c r="C20" s="17"/>
    </row>
    <row r="21" spans="1:3" ht="16" x14ac:dyDescent="0.2">
      <c r="A21" s="12" t="s">
        <v>204</v>
      </c>
      <c r="B21" s="13">
        <v>34</v>
      </c>
      <c r="C21" s="12" t="s">
        <v>205</v>
      </c>
    </row>
    <row r="22" spans="1:3" ht="16" x14ac:dyDescent="0.2">
      <c r="A22" s="12" t="s">
        <v>206</v>
      </c>
      <c r="B22" s="13">
        <v>47</v>
      </c>
      <c r="C22" s="12" t="s">
        <v>207</v>
      </c>
    </row>
    <row r="23" spans="1:3" ht="16" x14ac:dyDescent="0.2">
      <c r="A23" s="12" t="s">
        <v>208</v>
      </c>
      <c r="B23" s="13">
        <v>39</v>
      </c>
      <c r="C23" s="12" t="s">
        <v>209</v>
      </c>
    </row>
    <row r="24" spans="1:3" ht="16" x14ac:dyDescent="0.2">
      <c r="A24" s="12" t="s">
        <v>210</v>
      </c>
      <c r="B24" s="13">
        <v>50</v>
      </c>
      <c r="C24" s="12" t="s">
        <v>211</v>
      </c>
    </row>
    <row r="25" spans="1:3" ht="16" x14ac:dyDescent="0.2">
      <c r="A25" s="12" t="s">
        <v>212</v>
      </c>
      <c r="B25" s="13">
        <v>47</v>
      </c>
      <c r="C25" s="12" t="s">
        <v>213</v>
      </c>
    </row>
    <row r="26" spans="1:3" ht="16" x14ac:dyDescent="0.2">
      <c r="A26" s="12" t="s">
        <v>214</v>
      </c>
      <c r="B26" s="13">
        <v>44</v>
      </c>
      <c r="C26" s="12" t="s">
        <v>213</v>
      </c>
    </row>
    <row r="27" spans="1:3" ht="16" x14ac:dyDescent="0.2">
      <c r="A27" s="12" t="s">
        <v>215</v>
      </c>
      <c r="B27" s="13">
        <v>43.5</v>
      </c>
      <c r="C27" s="12" t="s">
        <v>216</v>
      </c>
    </row>
  </sheetData>
  <mergeCells count="4">
    <mergeCell ref="A1:C1"/>
    <mergeCell ref="A20:C20"/>
    <mergeCell ref="A3:C3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sqref="A1:F1"/>
    </sheetView>
  </sheetViews>
  <sheetFormatPr baseColWidth="10" defaultColWidth="8.83203125" defaultRowHeight="15" x14ac:dyDescent="0.2"/>
  <cols>
    <col min="1" max="6" width="12" customWidth="1"/>
  </cols>
  <sheetData>
    <row r="1" spans="1:6" ht="30" customHeight="1" x14ac:dyDescent="0.2">
      <c r="A1" s="18" t="s">
        <v>217</v>
      </c>
      <c r="B1" s="17"/>
      <c r="C1" s="17"/>
      <c r="D1" s="17"/>
      <c r="E1" s="17"/>
      <c r="F1" s="17"/>
    </row>
    <row r="3" spans="1:6" ht="17" x14ac:dyDescent="0.2">
      <c r="A3" s="6" t="s">
        <v>218</v>
      </c>
      <c r="B3" s="6" t="s">
        <v>76</v>
      </c>
      <c r="C3" s="6" t="s">
        <v>70</v>
      </c>
      <c r="D3" s="6" t="s">
        <v>73</v>
      </c>
      <c r="E3" s="6" t="s">
        <v>101</v>
      </c>
      <c r="F3" s="6" t="s">
        <v>182</v>
      </c>
    </row>
    <row r="4" spans="1:6" ht="16" x14ac:dyDescent="0.2">
      <c r="A4" s="5" t="s">
        <v>219</v>
      </c>
      <c r="B4" s="5">
        <v>8</v>
      </c>
      <c r="C4" s="5">
        <v>7</v>
      </c>
      <c r="D4" s="5">
        <v>6</v>
      </c>
      <c r="E4" s="5">
        <v>4</v>
      </c>
      <c r="F4" s="5">
        <f t="shared" ref="F4:F15" si="0">SUM(B4:E4)</f>
        <v>25</v>
      </c>
    </row>
    <row r="5" spans="1:6" ht="16" x14ac:dyDescent="0.2">
      <c r="A5" s="5" t="s">
        <v>220</v>
      </c>
      <c r="B5" s="5">
        <v>12</v>
      </c>
      <c r="C5" s="5">
        <v>10</v>
      </c>
      <c r="D5" s="5">
        <v>9</v>
      </c>
      <c r="E5" s="5">
        <v>5</v>
      </c>
      <c r="F5" s="5">
        <f t="shared" si="0"/>
        <v>36</v>
      </c>
    </row>
    <row r="6" spans="1:6" ht="16" x14ac:dyDescent="0.2">
      <c r="A6" s="5" t="s">
        <v>221</v>
      </c>
      <c r="B6" s="5">
        <v>14</v>
      </c>
      <c r="C6" s="5">
        <v>12</v>
      </c>
      <c r="D6" s="5">
        <v>11</v>
      </c>
      <c r="E6" s="5">
        <v>10</v>
      </c>
      <c r="F6" s="5">
        <f t="shared" si="0"/>
        <v>47</v>
      </c>
    </row>
    <row r="7" spans="1:6" ht="16" x14ac:dyDescent="0.2">
      <c r="A7" s="5" t="s">
        <v>222</v>
      </c>
      <c r="B7" s="5">
        <v>13</v>
      </c>
      <c r="C7" s="5">
        <v>11</v>
      </c>
      <c r="D7" s="5">
        <v>12</v>
      </c>
      <c r="E7" s="5">
        <v>10</v>
      </c>
      <c r="F7" s="5">
        <f t="shared" si="0"/>
        <v>46</v>
      </c>
    </row>
    <row r="8" spans="1:6" ht="16" x14ac:dyDescent="0.2">
      <c r="A8" s="5" t="s">
        <v>223</v>
      </c>
      <c r="B8" s="5">
        <v>13</v>
      </c>
      <c r="C8" s="5">
        <v>12</v>
      </c>
      <c r="D8" s="5">
        <v>11</v>
      </c>
      <c r="E8" s="5">
        <v>10</v>
      </c>
      <c r="F8" s="5">
        <f t="shared" si="0"/>
        <v>46</v>
      </c>
    </row>
    <row r="9" spans="1:6" ht="16" x14ac:dyDescent="0.2">
      <c r="A9" s="5" t="s">
        <v>224</v>
      </c>
      <c r="B9" s="5">
        <v>12</v>
      </c>
      <c r="C9" s="5">
        <v>11</v>
      </c>
      <c r="D9" s="5">
        <v>10</v>
      </c>
      <c r="E9" s="5">
        <v>11</v>
      </c>
      <c r="F9" s="5">
        <f t="shared" si="0"/>
        <v>44</v>
      </c>
    </row>
    <row r="10" spans="1:6" ht="16" x14ac:dyDescent="0.2">
      <c r="A10" s="5" t="s">
        <v>225</v>
      </c>
      <c r="B10" s="5">
        <v>14</v>
      </c>
      <c r="C10" s="5">
        <v>11</v>
      </c>
      <c r="D10" s="5">
        <v>11</v>
      </c>
      <c r="E10" s="5">
        <v>12</v>
      </c>
      <c r="F10" s="5">
        <f t="shared" si="0"/>
        <v>48</v>
      </c>
    </row>
    <row r="11" spans="1:6" ht="16" x14ac:dyDescent="0.2">
      <c r="A11" s="5" t="s">
        <v>226</v>
      </c>
      <c r="B11" s="5">
        <v>14</v>
      </c>
      <c r="C11" s="5">
        <v>10</v>
      </c>
      <c r="D11" s="5">
        <v>11</v>
      </c>
      <c r="E11" s="5">
        <v>12</v>
      </c>
      <c r="F11" s="5">
        <f t="shared" si="0"/>
        <v>47</v>
      </c>
    </row>
    <row r="12" spans="1:6" ht="16" x14ac:dyDescent="0.2">
      <c r="A12" s="5" t="s">
        <v>227</v>
      </c>
      <c r="B12" s="5">
        <v>14</v>
      </c>
      <c r="C12" s="5">
        <v>11</v>
      </c>
      <c r="D12" s="5">
        <v>10</v>
      </c>
      <c r="E12" s="5">
        <v>10</v>
      </c>
      <c r="F12" s="5">
        <f t="shared" si="0"/>
        <v>45</v>
      </c>
    </row>
    <row r="13" spans="1:6" ht="16" x14ac:dyDescent="0.2">
      <c r="A13" s="5" t="s">
        <v>228</v>
      </c>
      <c r="B13" s="5">
        <v>13</v>
      </c>
      <c r="C13" s="5">
        <v>10</v>
      </c>
      <c r="D13" s="5">
        <v>9</v>
      </c>
      <c r="E13" s="5">
        <v>11</v>
      </c>
      <c r="F13" s="5">
        <f t="shared" si="0"/>
        <v>43</v>
      </c>
    </row>
    <row r="14" spans="1:6" ht="16" x14ac:dyDescent="0.2">
      <c r="A14" s="5" t="s">
        <v>229</v>
      </c>
      <c r="B14" s="5">
        <v>11</v>
      </c>
      <c r="C14" s="5">
        <v>10</v>
      </c>
      <c r="D14" s="5">
        <v>9</v>
      </c>
      <c r="E14" s="5">
        <v>10</v>
      </c>
      <c r="F14" s="5">
        <f t="shared" si="0"/>
        <v>40</v>
      </c>
    </row>
    <row r="15" spans="1:6" ht="16" x14ac:dyDescent="0.2">
      <c r="A15" s="5" t="s">
        <v>230</v>
      </c>
      <c r="B15" s="5">
        <v>10</v>
      </c>
      <c r="C15" s="5">
        <v>9</v>
      </c>
      <c r="D15" s="5">
        <v>9</v>
      </c>
      <c r="E15" s="5">
        <v>10</v>
      </c>
      <c r="F15" s="5">
        <f t="shared" si="0"/>
        <v>38</v>
      </c>
    </row>
  </sheetData>
  <mergeCells count="1">
    <mergeCell ref="A1:F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1"/>
  <sheetViews>
    <sheetView workbookViewId="0">
      <selection sqref="A1:B1"/>
    </sheetView>
  </sheetViews>
  <sheetFormatPr baseColWidth="10" defaultColWidth="8.83203125" defaultRowHeight="15" x14ac:dyDescent="0.2"/>
  <cols>
    <col min="1" max="2" width="35" customWidth="1"/>
  </cols>
  <sheetData>
    <row r="1" spans="1:2" ht="30" customHeight="1" x14ac:dyDescent="0.2">
      <c r="A1" s="18" t="s">
        <v>231</v>
      </c>
      <c r="B1" s="17"/>
    </row>
    <row r="3" spans="1:2" ht="16" x14ac:dyDescent="0.2">
      <c r="A3" s="4" t="s">
        <v>232</v>
      </c>
    </row>
    <row r="4" spans="1:2" x14ac:dyDescent="0.2">
      <c r="A4" s="14" t="s">
        <v>233</v>
      </c>
    </row>
    <row r="5" spans="1:2" x14ac:dyDescent="0.2">
      <c r="A5" s="14" t="s">
        <v>234</v>
      </c>
    </row>
    <row r="6" spans="1:2" x14ac:dyDescent="0.2">
      <c r="A6" s="14" t="s">
        <v>235</v>
      </c>
    </row>
    <row r="7" spans="1:2" x14ac:dyDescent="0.2">
      <c r="A7" s="14" t="s">
        <v>236</v>
      </c>
    </row>
    <row r="8" spans="1:2" x14ac:dyDescent="0.2">
      <c r="A8" s="14" t="s">
        <v>237</v>
      </c>
    </row>
    <row r="9" spans="1:2" x14ac:dyDescent="0.2">
      <c r="A9" s="14" t="s">
        <v>238</v>
      </c>
    </row>
    <row r="11" spans="1:2" ht="16" x14ac:dyDescent="0.2">
      <c r="A11" s="4" t="s">
        <v>239</v>
      </c>
    </row>
    <row r="12" spans="1:2" x14ac:dyDescent="0.2">
      <c r="A12" s="14" t="s">
        <v>240</v>
      </c>
    </row>
    <row r="13" spans="1:2" x14ac:dyDescent="0.2">
      <c r="A13" s="14" t="s">
        <v>241</v>
      </c>
    </row>
    <row r="14" spans="1:2" x14ac:dyDescent="0.2">
      <c r="A14" s="14" t="s">
        <v>242</v>
      </c>
    </row>
    <row r="15" spans="1:2" x14ac:dyDescent="0.2">
      <c r="A15" s="14" t="s">
        <v>243</v>
      </c>
    </row>
    <row r="16" spans="1:2" x14ac:dyDescent="0.2">
      <c r="A16" s="14" t="s">
        <v>244</v>
      </c>
    </row>
    <row r="17" spans="1:2" x14ac:dyDescent="0.2">
      <c r="A17" s="14" t="s">
        <v>245</v>
      </c>
    </row>
    <row r="19" spans="1:2" ht="16" x14ac:dyDescent="0.2">
      <c r="A19" s="4" t="s">
        <v>246</v>
      </c>
    </row>
    <row r="20" spans="1:2" x14ac:dyDescent="0.2">
      <c r="A20" s="14" t="s">
        <v>247</v>
      </c>
    </row>
    <row r="21" spans="1:2" x14ac:dyDescent="0.2">
      <c r="A21" s="14" t="s">
        <v>248</v>
      </c>
    </row>
    <row r="22" spans="1:2" x14ac:dyDescent="0.2">
      <c r="A22" s="14" t="s">
        <v>249</v>
      </c>
    </row>
    <row r="23" spans="1:2" x14ac:dyDescent="0.2">
      <c r="A23" s="14" t="s">
        <v>250</v>
      </c>
    </row>
    <row r="24" spans="1:2" x14ac:dyDescent="0.2">
      <c r="A24" s="14" t="s">
        <v>251</v>
      </c>
    </row>
    <row r="25" spans="1:2" x14ac:dyDescent="0.2">
      <c r="A25" s="14" t="s">
        <v>252</v>
      </c>
    </row>
    <row r="28" spans="1:2" ht="16" x14ac:dyDescent="0.2">
      <c r="A28" s="16" t="s">
        <v>253</v>
      </c>
      <c r="B28" s="17"/>
    </row>
    <row r="29" spans="1:2" ht="17" x14ac:dyDescent="0.2">
      <c r="A29" s="6" t="s">
        <v>254</v>
      </c>
      <c r="B29" s="6" t="s">
        <v>255</v>
      </c>
    </row>
    <row r="30" spans="1:2" ht="16" x14ac:dyDescent="0.2">
      <c r="A30" s="15" t="s">
        <v>256</v>
      </c>
      <c r="B30" s="12" t="s">
        <v>257</v>
      </c>
    </row>
    <row r="31" spans="1:2" ht="16" x14ac:dyDescent="0.2">
      <c r="A31" s="15" t="s">
        <v>258</v>
      </c>
      <c r="B31" s="12" t="s">
        <v>259</v>
      </c>
    </row>
    <row r="32" spans="1:2" ht="16" x14ac:dyDescent="0.2">
      <c r="A32" s="15" t="s">
        <v>260</v>
      </c>
      <c r="B32" s="12" t="s">
        <v>261</v>
      </c>
    </row>
    <row r="33" spans="1:2" ht="16" x14ac:dyDescent="0.2">
      <c r="A33" s="15" t="s">
        <v>262</v>
      </c>
      <c r="B33" s="12" t="s">
        <v>263</v>
      </c>
    </row>
    <row r="34" spans="1:2" ht="16" x14ac:dyDescent="0.2">
      <c r="A34" s="15" t="s">
        <v>264</v>
      </c>
      <c r="B34" s="12" t="s">
        <v>265</v>
      </c>
    </row>
    <row r="35" spans="1:2" ht="16" x14ac:dyDescent="0.2">
      <c r="A35" s="15" t="s">
        <v>266</v>
      </c>
      <c r="B35" s="12" t="s">
        <v>267</v>
      </c>
    </row>
    <row r="36" spans="1:2" ht="16" x14ac:dyDescent="0.2">
      <c r="A36" s="15" t="s">
        <v>268</v>
      </c>
      <c r="B36" s="12" t="s">
        <v>269</v>
      </c>
    </row>
    <row r="37" spans="1:2" ht="16" x14ac:dyDescent="0.2">
      <c r="A37" s="15" t="s">
        <v>270</v>
      </c>
      <c r="B37" s="12" t="s">
        <v>271</v>
      </c>
    </row>
    <row r="38" spans="1:2" ht="16" x14ac:dyDescent="0.2">
      <c r="A38" s="15" t="s">
        <v>272</v>
      </c>
      <c r="B38" s="12" t="s">
        <v>273</v>
      </c>
    </row>
    <row r="39" spans="1:2" ht="16" x14ac:dyDescent="0.2">
      <c r="A39" s="15" t="s">
        <v>274</v>
      </c>
      <c r="B39" s="12" t="s">
        <v>275</v>
      </c>
    </row>
    <row r="40" spans="1:2" ht="16" x14ac:dyDescent="0.2">
      <c r="A40" s="15" t="s">
        <v>276</v>
      </c>
      <c r="B40" s="12" t="s">
        <v>277</v>
      </c>
    </row>
    <row r="41" spans="1:2" ht="16" x14ac:dyDescent="0.2">
      <c r="A41" s="15" t="s">
        <v>148</v>
      </c>
      <c r="B41" s="12" t="s">
        <v>278</v>
      </c>
    </row>
  </sheetData>
  <mergeCells count="2"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SPRINT_OVERVIEW</vt:lpstr>
      <vt:lpstr>TEAM_WORKLOAD</vt:lpstr>
      <vt:lpstr>ALL_TASKS</vt:lpstr>
      <vt:lpstr>METRICS</vt:lpstr>
      <vt:lpstr>WEEKLY_PROGRESS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Kumar Panjiyar</cp:lastModifiedBy>
  <dcterms:created xsi:type="dcterms:W3CDTF">2025-12-06T22:49:38Z</dcterms:created>
  <dcterms:modified xsi:type="dcterms:W3CDTF">2025-12-07T20:17:56Z</dcterms:modified>
</cp:coreProperties>
</file>